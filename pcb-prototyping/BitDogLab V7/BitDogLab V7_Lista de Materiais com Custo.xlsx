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essoal\Engenharia\BSB Engenharia\Escola 4.0\PCBs BitDogLab\Altium\BitDogLab V7\"/>
    </mc:Choice>
  </mc:AlternateContent>
  <xr:revisionPtr revIDLastSave="0" documentId="13_ncr:1_{385831B6-DDCC-432C-924F-59A4E9FFC4B2}" xr6:coauthVersionLast="47" xr6:coauthVersionMax="47" xr10:uidLastSave="{00000000-0000-0000-0000-000000000000}"/>
  <bookViews>
    <workbookView xWindow="28680" yWindow="1305" windowWidth="21840" windowHeight="13740" xr2:uid="{70E6C80B-C9A9-4B5C-911C-FFF4A0386DF4}"/>
  </bookViews>
  <sheets>
    <sheet name="BitDogLab V7_BOM" sheetId="1" r:id="rId1"/>
  </sheets>
  <definedNames>
    <definedName name="_xlnm.Print_Titles" localSheetId="0">'BitDogLab V7_BOM'!$1:$1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2" i="1"/>
  <c r="C14" i="1" s="1"/>
</calcChain>
</file>

<file path=xl/sharedStrings.xml><?xml version="1.0" encoding="utf-8"?>
<sst xmlns="http://schemas.openxmlformats.org/spreadsheetml/2006/main" count="27" uniqueCount="24">
  <si>
    <t>Quantity</t>
  </si>
  <si>
    <t>Description</t>
  </si>
  <si>
    <t>Bateria 18650 3,7V</t>
  </si>
  <si>
    <t>Múdulo de Carga Bateria</t>
  </si>
  <si>
    <t>Joystick Analógico (Resistivo e de Efeito Hall)</t>
  </si>
  <si>
    <t>Módulo de Microfone</t>
  </si>
  <si>
    <t>Suporte para Bateria 18650 SMT - PCI</t>
  </si>
  <si>
    <t>Cinestec</t>
  </si>
  <si>
    <t>Display OLED '0.96" 128 X 64</t>
  </si>
  <si>
    <t>Casa da Robótica</t>
  </si>
  <si>
    <t>Placa BitDogLab V7 (SMD's soldados)</t>
  </si>
  <si>
    <t>Conector JST 4 Pinos</t>
  </si>
  <si>
    <t>Total</t>
  </si>
  <si>
    <t>Nilson Benatto</t>
  </si>
  <si>
    <t>Value</t>
  </si>
  <si>
    <t>Fornecedor</t>
  </si>
  <si>
    <t>Omni Eletrônica</t>
  </si>
  <si>
    <t>A.C. Compcell</t>
  </si>
  <si>
    <t>Raspberry Pi Pico Rp2040</t>
  </si>
  <si>
    <t>Mercado Livre</t>
  </si>
  <si>
    <t>Placa BitDogLab Placa B</t>
  </si>
  <si>
    <t>?</t>
  </si>
  <si>
    <t xml:space="preserve">BARRA DE PINOS - Barra de Pinos Header Fêmea SMD - 2,54mm - 20 pinos curta - Tipo 1 </t>
  </si>
  <si>
    <t xml:space="preserve">Curto Circuito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</si>
</sst>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vertical="center" wrapText="1"/>
    </xf>
    <xf numFmtId="43" fontId="0" fillId="0" borderId="1" xfId="1" quotePrefix="1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43" fontId="0" fillId="0" borderId="1" xfId="1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3" fontId="0" fillId="0" borderId="0" xfId="1" applyFont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15CD-1AF4-40B8-9139-36519E304C0E}">
  <dimension ref="A1:D14"/>
  <sheetViews>
    <sheetView tabSelected="1" workbookViewId="0">
      <selection sqref="A1:D14"/>
    </sheetView>
  </sheetViews>
  <sheetFormatPr defaultRowHeight="15" x14ac:dyDescent="0.25"/>
  <cols>
    <col min="1" max="1" width="8.42578125" style="9" bestFit="1" customWidth="1"/>
    <col min="2" max="2" width="41.140625" style="10" bestFit="1" customWidth="1"/>
    <col min="3" max="3" width="8" style="11" bestFit="1" customWidth="1"/>
    <col min="4" max="4" width="16.5703125" style="8" bestFit="1" customWidth="1"/>
    <col min="5" max="16384" width="9.140625" style="8"/>
  </cols>
  <sheetData>
    <row r="1" spans="1:4" s="2" customFormat="1" x14ac:dyDescent="0.25">
      <c r="A1" s="1" t="s">
        <v>0</v>
      </c>
      <c r="B1" s="12" t="s">
        <v>1</v>
      </c>
      <c r="C1" s="13" t="s">
        <v>14</v>
      </c>
      <c r="D1" s="1" t="s">
        <v>15</v>
      </c>
    </row>
    <row r="2" spans="1:4" s="2" customFormat="1" x14ac:dyDescent="0.25">
      <c r="A2" s="3">
        <v>1</v>
      </c>
      <c r="B2" s="4" t="s">
        <v>10</v>
      </c>
      <c r="C2" s="5">
        <v>120.47</v>
      </c>
      <c r="D2" s="6" t="s">
        <v>16</v>
      </c>
    </row>
    <row r="3" spans="1:4" s="2" customFormat="1" x14ac:dyDescent="0.25">
      <c r="A3" s="3">
        <v>1</v>
      </c>
      <c r="B3" s="4" t="s">
        <v>20</v>
      </c>
      <c r="C3" s="7" t="s">
        <v>21</v>
      </c>
      <c r="D3" s="6"/>
    </row>
    <row r="4" spans="1:4" s="2" customFormat="1" ht="33.75" customHeight="1" x14ac:dyDescent="0.25">
      <c r="A4" s="3">
        <v>2</v>
      </c>
      <c r="B4" s="4" t="s">
        <v>22</v>
      </c>
      <c r="C4" s="7">
        <f>1.11*A4</f>
        <v>2.2200000000000002</v>
      </c>
      <c r="D4" s="6" t="s">
        <v>23</v>
      </c>
    </row>
    <row r="5" spans="1:4" x14ac:dyDescent="0.25">
      <c r="A5" s="3">
        <v>1</v>
      </c>
      <c r="B5" s="4" t="s">
        <v>2</v>
      </c>
      <c r="C5" s="5">
        <v>14.99</v>
      </c>
      <c r="D5" s="6" t="s">
        <v>9</v>
      </c>
    </row>
    <row r="6" spans="1:4" x14ac:dyDescent="0.25">
      <c r="A6" s="3">
        <v>1</v>
      </c>
      <c r="B6" s="4" t="s">
        <v>6</v>
      </c>
      <c r="C6" s="5">
        <v>20.55</v>
      </c>
      <c r="D6" s="6" t="s">
        <v>17</v>
      </c>
    </row>
    <row r="7" spans="1:4" x14ac:dyDescent="0.25">
      <c r="A7" s="3">
        <v>1</v>
      </c>
      <c r="B7" s="4" t="s">
        <v>3</v>
      </c>
      <c r="C7" s="5">
        <v>36.67</v>
      </c>
      <c r="D7" s="6" t="s">
        <v>13</v>
      </c>
    </row>
    <row r="8" spans="1:4" x14ac:dyDescent="0.25">
      <c r="A8" s="3">
        <v>1</v>
      </c>
      <c r="B8" s="4" t="s">
        <v>4</v>
      </c>
      <c r="C8" s="5">
        <v>11.9</v>
      </c>
      <c r="D8" s="6" t="s">
        <v>7</v>
      </c>
    </row>
    <row r="9" spans="1:4" x14ac:dyDescent="0.25">
      <c r="A9" s="3">
        <v>1</v>
      </c>
      <c r="B9" s="4" t="s">
        <v>18</v>
      </c>
      <c r="C9" s="5">
        <v>30</v>
      </c>
      <c r="D9" s="6" t="s">
        <v>19</v>
      </c>
    </row>
    <row r="10" spans="1:4" x14ac:dyDescent="0.25">
      <c r="A10" s="3">
        <v>1</v>
      </c>
      <c r="B10" s="4" t="s">
        <v>5</v>
      </c>
      <c r="C10" s="5">
        <v>11.9</v>
      </c>
      <c r="D10" s="6" t="s">
        <v>7</v>
      </c>
    </row>
    <row r="11" spans="1:4" x14ac:dyDescent="0.25">
      <c r="A11" s="3">
        <v>1</v>
      </c>
      <c r="B11" s="4" t="s">
        <v>8</v>
      </c>
      <c r="C11" s="5">
        <v>19.899999999999999</v>
      </c>
      <c r="D11" s="6" t="s">
        <v>7</v>
      </c>
    </row>
    <row r="12" spans="1:4" x14ac:dyDescent="0.25">
      <c r="A12" s="3">
        <v>2</v>
      </c>
      <c r="B12" s="4" t="s">
        <v>11</v>
      </c>
      <c r="C12" s="5">
        <f>0.4*A12</f>
        <v>0.8</v>
      </c>
      <c r="D12" s="6" t="s">
        <v>7</v>
      </c>
    </row>
    <row r="13" spans="1:4" x14ac:dyDescent="0.25">
      <c r="A13" s="3"/>
      <c r="B13" s="4"/>
      <c r="C13" s="5"/>
      <c r="D13" s="6"/>
    </row>
    <row r="14" spans="1:4" x14ac:dyDescent="0.25">
      <c r="A14" s="3"/>
      <c r="B14" s="4" t="s">
        <v>12</v>
      </c>
      <c r="C14" s="5">
        <f>SUM(C2:C12)</f>
        <v>269.40000000000003</v>
      </c>
      <c r="D14" s="6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BitDogLab V7_BOM</vt:lpstr>
      <vt:lpstr>'BitDogLab V7_BOM'!Titulos_de_impressao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Santos Battistella</dc:creator>
  <cp:lastModifiedBy>Bruno Santos Battistella</cp:lastModifiedBy>
  <dcterms:created xsi:type="dcterms:W3CDTF">2025-06-17T22:37:36Z</dcterms:created>
  <dcterms:modified xsi:type="dcterms:W3CDTF">2025-10-31T20:29:27Z</dcterms:modified>
</cp:coreProperties>
</file>